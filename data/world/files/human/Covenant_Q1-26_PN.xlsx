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" sheetId="1" state="visible" r:id="rId1"/>
    <sheet xmlns:r="http://schemas.openxmlformats.org/officeDocument/2006/relationships" name="Bonus" sheetId="2" state="visible" r:id="rId2"/>
    <sheet xmlns:r="http://schemas.openxmlformats.org/officeDocument/2006/relationships"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" t="inlineStr">
        <is>
          <t>Tidewall Climbing Co. - Q1 2026 covenant calculation</t>
        </is>
      </c>
    </row>
    <row r="2">
      <c r="A2" t="inlineStr">
        <is>
          <t>Prepared by PN 5/12/2026 from the Q1 close. Synthetic company.</t>
        </is>
      </c>
    </row>
    <row r="4">
      <c r="A4" t="inlineStr">
        <is>
          <t>Item</t>
        </is>
      </c>
      <c r="B4" t="inlineStr">
        <is>
          <t>Amount</t>
        </is>
      </c>
    </row>
    <row r="6">
      <c r="A6" t="inlineStr">
        <is>
          <t>Revenue, trailing four quarters</t>
        </is>
      </c>
      <c r="B6" t="n">
        <v>186023530.92</v>
      </c>
    </row>
    <row r="7">
      <c r="A7" t="inlineStr">
        <is>
          <t>Adjusted EBITDA, trailing four quarters</t>
        </is>
      </c>
      <c r="B7" t="n">
        <v>32000000</v>
      </c>
    </row>
    <row r="9">
      <c r="A9" t="inlineStr">
        <is>
          <t>Term loan outstanding, March 31</t>
        </is>
      </c>
      <c r="B9" t="n">
        <v>105000000</v>
      </c>
    </row>
    <row r="10">
      <c r="A10" t="inlineStr">
        <is>
          <t>Cash, March 31</t>
        </is>
      </c>
      <c r="B10" t="n">
        <v>10600000</v>
      </c>
    </row>
    <row r="11">
      <c r="A11" t="inlineStr">
        <is>
          <t>Net debt</t>
        </is>
      </c>
      <c r="B11">
        <f>B9-B10</f>
        <v/>
      </c>
    </row>
    <row r="12">
      <c r="A12" t="inlineStr">
        <is>
          <t>Net leverage</t>
        </is>
      </c>
      <c r="B12">
        <f>B11/B7</f>
        <v/>
      </c>
    </row>
    <row r="13">
      <c r="A13" t="inlineStr">
        <is>
          <t>Maximum leverage (Section 7.1)</t>
        </is>
      </c>
      <c r="B13" t="n">
        <v>3</v>
      </c>
    </row>
    <row r="14">
      <c r="A14" t="inlineStr">
        <is>
          <t>Covenant status</t>
        </is>
      </c>
      <c r="B14">
        <f>IF(B12&lt;=B13,"Compliant","BREACH")</f>
        <v/>
      </c>
    </row>
    <row r="15">
      <c r="A15" t="inlineStr">
        <is>
          <t>Headroom (EBITDA cushion)</t>
        </is>
      </c>
      <c r="B15">
        <f>B7-B11/B13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Region</t>
        </is>
      </c>
      <c r="B1" t="inlineStr">
        <is>
          <t>Q1 EBITDA</t>
        </is>
      </c>
      <c r="C1" t="inlineStr">
        <is>
          <t>Target</t>
        </is>
      </c>
      <c r="D1" t="inlineStr">
        <is>
          <t>Excess</t>
        </is>
      </c>
      <c r="E1" t="inlineStr">
        <is>
          <t>Bonus</t>
        </is>
      </c>
    </row>
    <row r="2">
      <c r="A2" t="inlineStr">
        <is>
          <t>Bay Area (R1)</t>
        </is>
      </c>
      <c r="B2" t="n">
        <v>1507404.03</v>
      </c>
      <c r="C2" t="n">
        <v>1107000</v>
      </c>
      <c r="D2">
        <f>MAX(0,B2-C2)</f>
        <v/>
      </c>
      <c r="E2">
        <f>D2*0.04</f>
        <v/>
      </c>
    </row>
    <row r="3">
      <c r="A3" t="inlineStr">
        <is>
          <t>Southern California (R2)</t>
        </is>
      </c>
      <c r="B3" t="n">
        <v>1368731.01</v>
      </c>
      <c r="C3" t="n">
        <v>1069000</v>
      </c>
      <c r="D3">
        <f>MAX(0,B3-C3)</f>
        <v/>
      </c>
      <c r="E3">
        <f>D3*0.04</f>
        <v/>
      </c>
    </row>
    <row r="4">
      <c r="A4" t="inlineStr">
        <is>
          <t>Pacific Northwest (R3)</t>
        </is>
      </c>
      <c r="B4" t="n">
        <v>1250660.67</v>
      </c>
      <c r="C4" t="n">
        <v>1451000</v>
      </c>
      <c r="D4">
        <f>MAX(0,B4-C4)</f>
        <v/>
      </c>
      <c r="E4">
        <f>D4*0.04</f>
        <v/>
      </c>
    </row>
    <row r="5">
      <c r="A5" t="inlineStr">
        <is>
          <t>Rockies (R4)</t>
        </is>
      </c>
      <c r="B5" t="n">
        <v>1128495.44</v>
      </c>
      <c r="C5" t="n">
        <v>878000</v>
      </c>
      <c r="D5">
        <f>MAX(0,B5-C5)</f>
        <v/>
      </c>
      <c r="E5">
        <f>D5*0.04</f>
        <v/>
      </c>
    </row>
    <row r="6">
      <c r="A6" t="inlineStr">
        <is>
          <t>Central Valley (R5)</t>
        </is>
      </c>
      <c r="B6" t="n">
        <v>1023459.86</v>
      </c>
      <c r="C6" t="n">
        <v>1123000</v>
      </c>
      <c r="D6">
        <f>MAX(0,B6-C6)</f>
        <v/>
      </c>
      <c r="E6">
        <f>D6*0.04</f>
        <v/>
      </c>
    </row>
    <row r="7">
      <c r="A7" t="inlineStr">
        <is>
          <t>Desert Southwest (R6)</t>
        </is>
      </c>
      <c r="B7" t="n">
        <v>670155.53</v>
      </c>
      <c r="C7" t="n">
        <v>520000</v>
      </c>
      <c r="D7">
        <f>MAX(0,B7-C7)</f>
        <v/>
      </c>
      <c r="E7">
        <f>D7*0.04</f>
        <v/>
      </c>
    </row>
    <row r="8">
      <c r="A8" t="inlineStr">
        <is>
          <t>Total</t>
        </is>
      </c>
      <c r="B8">
        <f>SUM(B2:B7)</f>
        <v/>
      </c>
      <c r="E8">
        <f>SUM(E2:E7)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Q1 2026 pretax income</t>
        </is>
      </c>
      <c r="B1" t="n">
        <v>4589094.77</v>
      </c>
    </row>
    <row r="2">
      <c r="A2" t="inlineStr">
        <is>
          <t>Estimated tax rate</t>
        </is>
      </c>
      <c r="B2" t="n">
        <v>0.26</v>
      </c>
    </row>
    <row r="3">
      <c r="A3" t="inlineStr">
        <is>
          <t>Q2 estimated payment</t>
        </is>
      </c>
      <c r="B3">
        <f>B1*B2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2026-10-24T07:21:26Z</dcterms:created>
  <dcterms:modified xmlns:dcterms="http://purl.org/dc/terms/" xmlns:xsi="http://www.w3.org/2001/XMLSchema-instance" xsi:type="dcterms:W3CDTF">2026-10-24T07:21:26Z</dcterms:modified>
</cp:coreProperties>
</file>